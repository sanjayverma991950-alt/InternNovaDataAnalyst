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sk6_Formatting_Sorting" sheetId="2" state="visible" r:id="rId2"/>
    <sheet xmlns:r="http://schemas.openxmlformats.org/officeDocument/2006/relationships" name="Task7_Conditional_Functions" sheetId="3" state="visible" r:id="rId3"/>
    <sheet xmlns:r="http://schemas.openxmlformats.org/officeDocument/2006/relationships" name="Task8_VLOOKUP_XLOOKUP" sheetId="4" state="visible" r:id="rId4"/>
    <sheet xmlns:r="http://schemas.openxmlformats.org/officeDocument/2006/relationships" name="Task9_Pivot_and_Chart" sheetId="5" state="visible" r:id="rId5"/>
    <sheet xmlns:r="http://schemas.openxmlformats.org/officeDocument/2006/relationships" name="Raw_Data" sheetId="6" state="visible" r:id="rId6"/>
  </sheets>
  <definedNames>
    <definedName name="_xlnm._FilterDatabase" localSheetId="1" hidden="1">'Task6_Formatting_Sorting'!$A$4:$H$19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E3A8A"/>
      <sz val="11"/>
    </font>
    <font>
      <name val="Calibri"/>
      <b val="1"/>
      <color rgb="00FFFFFF"/>
      <sz val="11"/>
    </font>
    <font>
      <name val="Consolas"/>
      <color rgb="00047857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2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0" fontId="3" fillId="0" borderId="1" applyAlignment="1" pivotButton="0" quotePrefix="0" xfId="0">
      <alignment horizontal="right"/>
    </xf>
    <xf numFmtId="0" fontId="3" fillId="3" borderId="1" pivotButton="0" quotePrefix="0" xfId="0"/>
    <xf numFmtId="0" fontId="0" fillId="3" borderId="1" applyAlignment="1" pivotButton="0" quotePrefix="0" xfId="0">
      <alignment horizontal="center"/>
    </xf>
    <xf numFmtId="0" fontId="7" fillId="3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5" fontId="3" fillId="0" borderId="2" applyAlignment="1" pivotButton="0" quotePrefix="0" xfId="0">
      <alignment horizontal="right"/>
    </xf>
    <xf numFmtId="166" fontId="3" fillId="0" borderId="2" applyAlignment="1" pivotButton="0" quotePrefix="0" xfId="0">
      <alignment horizontal="right"/>
    </xf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065F46"/>
      </font>
      <fill>
        <patternFill patternType="solid">
          <fgColor rgb="00D1FAE5"/>
          <bgColor rgb="00D1FAE5"/>
        </patternFill>
      </fill>
    </dxf>
    <dxf>
      <font>
        <b val="1"/>
        <color rgb="0092400E"/>
      </font>
      <fill>
        <patternFill patternType="solid">
          <fgColor rgb="00FEF3C7"/>
          <bgColor rgb="00FEF3C7"/>
        </patternFill>
      </fill>
    </dxf>
    <dxf>
      <font>
        <b val="1"/>
        <color rgb="00991B1B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'Task9_Pivot_and_Chart'!D4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'Task9_Pivot_and_Chart'!$A$5:$A$10</f>
            </numRef>
          </cat>
          <val>
            <numRef>
              <f>'Task9_Pivot_and_Chart'!$D$5:$D$10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Salary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8"/>
  <sheetViews>
    <sheetView showGridLines="1" workbookViewId="0">
      <selection activeCell="A1" sqref="A1"/>
    </sheetView>
  </sheetViews>
  <sheetFormatPr baseColWidth="8" defaultRowHeight="15"/>
  <cols>
    <col width="42" customWidth="1" min="2" max="2"/>
    <col width="33" customWidth="1" min="3" max="3"/>
    <col width="74" customWidth="1" min="4" max="4"/>
  </cols>
  <sheetData>
    <row r="1"/>
    <row r="2">
      <c r="B2" s="1" t="inlineStr">
        <is>
          <t>Week 3: SQL &amp; Microsoft Excel Analytics</t>
        </is>
      </c>
    </row>
    <row r="3">
      <c r="B3" s="2" t="inlineStr">
        <is>
          <t>Assignment Workbook</t>
        </is>
      </c>
    </row>
    <row r="4"/>
    <row r="5">
      <c r="B5" s="3" t="inlineStr">
        <is>
          <t>Course:</t>
        </is>
      </c>
      <c r="C5" s="4" t="inlineStr">
        <is>
          <t>Data Analytics</t>
        </is>
      </c>
    </row>
    <row r="6">
      <c r="B6" s="3" t="inlineStr">
        <is>
          <t>Week:</t>
        </is>
      </c>
      <c r="C6" s="4" t="inlineStr">
        <is>
          <t>Week 3</t>
        </is>
      </c>
    </row>
    <row r="7">
      <c r="B7" s="3" t="inlineStr">
        <is>
          <t>Marks:</t>
        </is>
      </c>
      <c r="C7" s="4" t="inlineStr">
        <is>
          <t>100</t>
        </is>
      </c>
    </row>
    <row r="8">
      <c r="B8" s="3" t="inlineStr">
        <is>
          <t>Database:</t>
        </is>
      </c>
      <c r="C8" s="4" t="inlineStr">
        <is>
          <t>SQLite</t>
        </is>
      </c>
    </row>
    <row r="9">
      <c r="B9" s="3" t="inlineStr">
        <is>
          <t>Tasks:</t>
        </is>
      </c>
      <c r="C9" s="4" t="inlineStr">
        <is>
          <t>Task 6, Task 7, Task 8, Task 9</t>
        </is>
      </c>
    </row>
    <row r="10"/>
    <row r="11">
      <c r="B11" s="5" t="inlineStr">
        <is>
          <t>Sheet Contents</t>
        </is>
      </c>
    </row>
    <row r="12"/>
    <row r="13">
      <c r="B13" s="6" t="inlineStr">
        <is>
          <t>Sheet Name</t>
        </is>
      </c>
      <c r="C13" s="6" t="inlineStr">
        <is>
          <t>Task</t>
        </is>
      </c>
      <c r="D13" s="6" t="inlineStr">
        <is>
          <t>Description</t>
        </is>
      </c>
    </row>
    <row r="14">
      <c r="B14" s="7" t="inlineStr">
        <is>
          <t>Task6_Formatting_Sorting</t>
        </is>
      </c>
      <c r="C14" s="7" t="inlineStr">
        <is>
          <t>Task 6</t>
        </is>
      </c>
      <c r="D14" s="7" t="inlineStr">
        <is>
          <t>Formatted employee table sorted by department and salary, with filters</t>
        </is>
      </c>
    </row>
    <row r="15">
      <c r="B15" s="8" t="inlineStr">
        <is>
          <t>Task7_Conditional_Functions</t>
        </is>
      </c>
      <c r="C15" s="8" t="inlineStr">
        <is>
          <t>Task 7</t>
        </is>
      </c>
      <c r="D15" s="8" t="inlineStr">
        <is>
          <t>Conditional formatting rules, IF statements, COUNTIF and SUMIF</t>
        </is>
      </c>
    </row>
    <row r="16">
      <c r="B16" s="7" t="inlineStr">
        <is>
          <t>Task8_VLOOKUP_XLOOKUP</t>
        </is>
      </c>
      <c r="C16" s="7" t="inlineStr">
        <is>
          <t>Task 8</t>
        </is>
      </c>
      <c r="D16" s="7" t="inlineStr">
        <is>
          <t>Department lookup using VLOOKUP and XLOOKUP, reverse lookup, comparison</t>
        </is>
      </c>
    </row>
    <row r="17">
      <c r="B17" s="8" t="inlineStr">
        <is>
          <t>Task9_Pivot_and_Chart</t>
        </is>
      </c>
      <c r="C17" s="8" t="inlineStr">
        <is>
          <t>Task 9</t>
        </is>
      </c>
      <c r="D17" s="8" t="inlineStr">
        <is>
          <t>Pivot summary table and salary chart by department</t>
        </is>
      </c>
    </row>
    <row r="18">
      <c r="B18" s="7" t="inlineStr">
        <is>
          <t>Raw_Data</t>
        </is>
      </c>
      <c r="C18" s="7" t="inlineStr">
        <is>
          <t>Data</t>
        </is>
      </c>
      <c r="D18" s="7" t="inlineStr">
        <is>
          <t>Master employee data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8" customWidth="1" min="2" max="2"/>
    <col width="28" customWidth="1" min="3" max="3"/>
    <col width="21" customWidth="1" min="4" max="4"/>
    <col width="16" customWidth="1" min="5" max="5"/>
    <col width="12" customWidth="1" min="6" max="6"/>
    <col width="13" customWidth="1" min="7" max="7"/>
    <col width="20" customWidth="1" min="8" max="8"/>
  </cols>
  <sheetData>
    <row r="1">
      <c r="A1" s="1" t="inlineStr">
        <is>
          <t>Task 6: Data Formatting, Sorting &amp; Filtering</t>
        </is>
      </c>
    </row>
    <row r="2">
      <c r="A2" s="2" t="inlineStr">
        <is>
          <t>Sorted by Department (A to Z) and Salary (High to Low)</t>
        </is>
      </c>
    </row>
    <row r="3"/>
    <row r="4">
      <c r="A4" s="6" t="inlineStr">
        <is>
          <t>Employee ID</t>
        </is>
      </c>
      <c r="B4" s="6" t="inlineStr">
        <is>
          <t>Employee Name</t>
        </is>
      </c>
      <c r="C4" s="6" t="inlineStr">
        <is>
          <t>Job Title</t>
        </is>
      </c>
      <c r="D4" s="6" t="inlineStr">
        <is>
          <t>Department</t>
        </is>
      </c>
      <c r="E4" s="6" t="inlineStr">
        <is>
          <t>Location</t>
        </is>
      </c>
      <c r="F4" s="6" t="inlineStr">
        <is>
          <t>Salary</t>
        </is>
      </c>
      <c r="G4" s="6" t="inlineStr">
        <is>
          <t>Hire Date</t>
        </is>
      </c>
      <c r="H4" s="6" t="inlineStr">
        <is>
          <t>Performance Score</t>
        </is>
      </c>
    </row>
    <row r="5">
      <c r="A5" s="9" t="n">
        <v>1003</v>
      </c>
      <c r="B5" s="10" t="inlineStr">
        <is>
          <t>Emily Watson</t>
        </is>
      </c>
      <c r="C5" s="10" t="inlineStr">
        <is>
          <t>Senior Data Analyst</t>
        </is>
      </c>
      <c r="D5" s="10" t="inlineStr">
        <is>
          <t>Data Analytics</t>
        </is>
      </c>
      <c r="E5" s="10" t="inlineStr">
        <is>
          <t>New York</t>
        </is>
      </c>
      <c r="F5" s="11" t="n">
        <v>85000</v>
      </c>
      <c r="G5" s="9" t="inlineStr">
        <is>
          <t>2021-09-01</t>
        </is>
      </c>
      <c r="H5" s="9" t="n">
        <v>5</v>
      </c>
    </row>
    <row r="6">
      <c r="A6" s="12" t="n">
        <v>1004</v>
      </c>
      <c r="B6" s="13" t="inlineStr">
        <is>
          <t>David Kim</t>
        </is>
      </c>
      <c r="C6" s="13" t="inlineStr">
        <is>
          <t>BI Developer</t>
        </is>
      </c>
      <c r="D6" s="13" t="inlineStr">
        <is>
          <t>Data Analytics</t>
        </is>
      </c>
      <c r="E6" s="13" t="inlineStr">
        <is>
          <t>New York</t>
        </is>
      </c>
      <c r="F6" s="14" t="n">
        <v>74000</v>
      </c>
      <c r="G6" s="12" t="inlineStr">
        <is>
          <t>2022-01-10</t>
        </is>
      </c>
      <c r="H6" s="12" t="n">
        <v>4</v>
      </c>
    </row>
    <row r="7">
      <c r="A7" s="9" t="n">
        <v>1010</v>
      </c>
      <c r="B7" s="10" t="inlineStr">
        <is>
          <t>Lisa Ray</t>
        </is>
      </c>
      <c r="C7" s="10" t="inlineStr">
        <is>
          <t>Junior Data Analyst</t>
        </is>
      </c>
      <c r="D7" s="10" t="inlineStr">
        <is>
          <t>Data Analytics</t>
        </is>
      </c>
      <c r="E7" s="10" t="inlineStr">
        <is>
          <t>New York</t>
        </is>
      </c>
      <c r="F7" s="11" t="n">
        <v>58000</v>
      </c>
      <c r="G7" s="9" t="inlineStr">
        <is>
          <t>2023-04-12</t>
        </is>
      </c>
      <c r="H7" s="9" t="n">
        <v>3</v>
      </c>
    </row>
    <row r="8">
      <c r="A8" s="12" t="n">
        <v>1001</v>
      </c>
      <c r="B8" s="13" t="inlineStr">
        <is>
          <t>Sarah Connor</t>
        </is>
      </c>
      <c r="C8" s="13" t="inlineStr">
        <is>
          <t>Lead Data Engineer</t>
        </is>
      </c>
      <c r="D8" s="13" t="inlineStr">
        <is>
          <t>Engineering</t>
        </is>
      </c>
      <c r="E8" s="13" t="inlineStr">
        <is>
          <t>San Francisco</t>
        </is>
      </c>
      <c r="F8" s="14" t="n">
        <v>98000</v>
      </c>
      <c r="G8" s="12" t="inlineStr">
        <is>
          <t>2021-03-15</t>
        </is>
      </c>
      <c r="H8" s="12" t="n">
        <v>5</v>
      </c>
    </row>
    <row r="9">
      <c r="A9" s="9" t="n">
        <v>1002</v>
      </c>
      <c r="B9" s="10" t="inlineStr">
        <is>
          <t>Michael Chen</t>
        </is>
      </c>
      <c r="C9" s="10" t="inlineStr">
        <is>
          <t>Senior Software Engineer</t>
        </is>
      </c>
      <c r="D9" s="10" t="inlineStr">
        <is>
          <t>Engineering</t>
        </is>
      </c>
      <c r="E9" s="10" t="inlineStr">
        <is>
          <t>San Francisco</t>
        </is>
      </c>
      <c r="F9" s="11" t="n">
        <v>92000</v>
      </c>
      <c r="G9" s="9" t="inlineStr">
        <is>
          <t>2020-07-11</t>
        </is>
      </c>
      <c r="H9" s="9" t="n">
        <v>4</v>
      </c>
    </row>
    <row r="10">
      <c r="A10" s="12" t="n">
        <v>1009</v>
      </c>
      <c r="B10" s="13" t="inlineStr">
        <is>
          <t>Brian O'Connor</t>
        </is>
      </c>
      <c r="C10" s="13" t="inlineStr">
        <is>
          <t>DevOps Engineer</t>
        </is>
      </c>
      <c r="D10" s="13" t="inlineStr">
        <is>
          <t>Engineering</t>
        </is>
      </c>
      <c r="E10" s="13" t="inlineStr">
        <is>
          <t>San Francisco</t>
        </is>
      </c>
      <c r="F10" s="14" t="n">
        <v>89000</v>
      </c>
      <c r="G10" s="12" t="inlineStr">
        <is>
          <t>2021-12-01</t>
        </is>
      </c>
      <c r="H10" s="12" t="n">
        <v>4</v>
      </c>
    </row>
    <row r="11">
      <c r="A11" s="9" t="n">
        <v>1014</v>
      </c>
      <c r="B11" s="10" t="inlineStr">
        <is>
          <t>Sophia Loren</t>
        </is>
      </c>
      <c r="C11" s="10" t="inlineStr">
        <is>
          <t>Frontend Engineer</t>
        </is>
      </c>
      <c r="D11" s="10" t="inlineStr">
        <is>
          <t>Engineering</t>
        </is>
      </c>
      <c r="E11" s="10" t="inlineStr">
        <is>
          <t>San Francisco</t>
        </is>
      </c>
      <c r="F11" s="11" t="n">
        <v>81000</v>
      </c>
      <c r="G11" s="9" t="inlineStr">
        <is>
          <t>2022-10-01</t>
        </is>
      </c>
      <c r="H11" s="9" t="n">
        <v>4</v>
      </c>
    </row>
    <row r="12">
      <c r="A12" s="12" t="n">
        <v>1015</v>
      </c>
      <c r="B12" s="13" t="inlineStr">
        <is>
          <t>Alexander Vance</t>
        </is>
      </c>
      <c r="C12" s="13" t="inlineStr">
        <is>
          <t>Strategic Advisor</t>
        </is>
      </c>
      <c r="D12" s="13" t="inlineStr">
        <is>
          <t>Executive Advisory</t>
        </is>
      </c>
      <c r="E12" s="13" t="inlineStr">
        <is>
          <t>Remote</t>
        </is>
      </c>
      <c r="F12" s="14" t="n">
        <v>115000</v>
      </c>
      <c r="G12" s="12" t="inlineStr">
        <is>
          <t>2024-01-05</t>
        </is>
      </c>
      <c r="H12" s="12" t="n">
        <v>5</v>
      </c>
    </row>
    <row r="13">
      <c r="A13" s="9" t="n">
        <v>1008</v>
      </c>
      <c r="B13" s="10" t="inlineStr">
        <is>
          <t>Amanda Martinez</t>
        </is>
      </c>
      <c r="C13" s="10" t="inlineStr">
        <is>
          <t>HR Business Partner</t>
        </is>
      </c>
      <c r="D13" s="10" t="inlineStr">
        <is>
          <t>Human Resources</t>
        </is>
      </c>
      <c r="E13" s="10" t="inlineStr">
        <is>
          <t>Boston</t>
        </is>
      </c>
      <c r="F13" s="11" t="n">
        <v>67000</v>
      </c>
      <c r="G13" s="9" t="inlineStr">
        <is>
          <t>2021-08-05</t>
        </is>
      </c>
      <c r="H13" s="9" t="n">
        <v>4</v>
      </c>
    </row>
    <row r="14">
      <c r="A14" s="12" t="n">
        <v>1013</v>
      </c>
      <c r="B14" s="13" t="inlineStr">
        <is>
          <t>Daniel Craig</t>
        </is>
      </c>
      <c r="C14" s="13" t="inlineStr">
        <is>
          <t>Recruiting Coordinator</t>
        </is>
      </c>
      <c r="D14" s="13" t="inlineStr">
        <is>
          <t>Human Resources</t>
        </is>
      </c>
      <c r="E14" s="13" t="inlineStr">
        <is>
          <t>Boston</t>
        </is>
      </c>
      <c r="F14" s="14" t="n">
        <v>52000</v>
      </c>
      <c r="G14" s="12" t="inlineStr">
        <is>
          <t>2023-08-20</t>
        </is>
      </c>
      <c r="H14" s="12" t="n">
        <v>3</v>
      </c>
    </row>
    <row r="15">
      <c r="A15" s="9" t="n">
        <v>1005</v>
      </c>
      <c r="B15" s="10" t="inlineStr">
        <is>
          <t>Jessica Alba</t>
        </is>
      </c>
      <c r="C15" s="10" t="inlineStr">
        <is>
          <t>Digital Marketing Manager</t>
        </is>
      </c>
      <c r="D15" s="10" t="inlineStr">
        <is>
          <t>Marketing</t>
        </is>
      </c>
      <c r="E15" s="10" t="inlineStr">
        <is>
          <t>Chicago</t>
        </is>
      </c>
      <c r="F15" s="11" t="n">
        <v>71000</v>
      </c>
      <c r="G15" s="9" t="inlineStr">
        <is>
          <t>2019-11-20</t>
        </is>
      </c>
      <c r="H15" s="9" t="n">
        <v>3</v>
      </c>
    </row>
    <row r="16">
      <c r="A16" s="12" t="n">
        <v>1011</v>
      </c>
      <c r="B16" s="13" t="inlineStr">
        <is>
          <t>Kevin Patel</t>
        </is>
      </c>
      <c r="C16" s="13" t="inlineStr">
        <is>
          <t>Content Strategist</t>
        </is>
      </c>
      <c r="D16" s="13" t="inlineStr">
        <is>
          <t>Marketing</t>
        </is>
      </c>
      <c r="E16" s="13" t="inlineStr">
        <is>
          <t>Chicago</t>
        </is>
      </c>
      <c r="F16" s="14" t="n">
        <v>56000</v>
      </c>
      <c r="G16" s="12" t="inlineStr">
        <is>
          <t>2023-02-01</t>
        </is>
      </c>
      <c r="H16" s="12" t="n">
        <v>3</v>
      </c>
    </row>
    <row r="17">
      <c r="A17" s="9" t="n">
        <v>1006</v>
      </c>
      <c r="B17" s="10" t="inlineStr">
        <is>
          <t>James Wilson</t>
        </is>
      </c>
      <c r="C17" s="10" t="inlineStr">
        <is>
          <t>Enterprise Account Exec</t>
        </is>
      </c>
      <c r="D17" s="10" t="inlineStr">
        <is>
          <t>Sales</t>
        </is>
      </c>
      <c r="E17" s="10" t="inlineStr">
        <is>
          <t>Austin</t>
        </is>
      </c>
      <c r="F17" s="11" t="n">
        <v>88000</v>
      </c>
      <c r="G17" s="9" t="inlineStr">
        <is>
          <t>2020-02-14</t>
        </is>
      </c>
      <c r="H17" s="9" t="n">
        <v>4</v>
      </c>
    </row>
    <row r="18">
      <c r="A18" s="12" t="n">
        <v>1007</v>
      </c>
      <c r="B18" s="13" t="inlineStr">
        <is>
          <t>Robert Taylor</t>
        </is>
      </c>
      <c r="C18" s="13" t="inlineStr">
        <is>
          <t>Sales Specialist</t>
        </is>
      </c>
      <c r="D18" s="13" t="inlineStr">
        <is>
          <t>Sales</t>
        </is>
      </c>
      <c r="E18" s="13" t="inlineStr">
        <is>
          <t>Austin</t>
        </is>
      </c>
      <c r="F18" s="14" t="n">
        <v>62000</v>
      </c>
      <c r="G18" s="12" t="inlineStr">
        <is>
          <t>2022-05-18</t>
        </is>
      </c>
      <c r="H18" s="12" t="n">
        <v>3</v>
      </c>
    </row>
    <row r="19">
      <c r="A19" s="9" t="n">
        <v>1012</v>
      </c>
      <c r="B19" s="10" t="inlineStr">
        <is>
          <t>Rachel Green</t>
        </is>
      </c>
      <c r="C19" s="10" t="inlineStr">
        <is>
          <t>Inside Sales Rep</t>
        </is>
      </c>
      <c r="D19" s="10" t="inlineStr">
        <is>
          <t>Sales</t>
        </is>
      </c>
      <c r="E19" s="10" t="inlineStr">
        <is>
          <t>Austin</t>
        </is>
      </c>
      <c r="F19" s="11" t="n">
        <v>54000</v>
      </c>
      <c r="G19" s="9" t="inlineStr">
        <is>
          <t>2023-06-15</t>
        </is>
      </c>
      <c r="H19" s="9" t="n">
        <v>2</v>
      </c>
    </row>
    <row r="20">
      <c r="A20" s="15" t="inlineStr">
        <is>
          <t>Total / Average</t>
        </is>
      </c>
      <c r="F20" s="16">
        <f>SUM(F5:F19)</f>
        <v/>
      </c>
      <c r="H20" s="17">
        <f>ROUND(AVERAGE(H5:H19), 2)</f>
        <v/>
      </c>
    </row>
  </sheetData>
  <autoFilter ref="A4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8" customWidth="1" min="2" max="2"/>
    <col width="21" customWidth="1" min="3" max="3"/>
    <col width="12" customWidth="1" min="4" max="4"/>
    <col width="12" customWidth="1" min="5" max="5"/>
    <col width="13" customWidth="1" min="6" max="6"/>
    <col width="19" customWidth="1" min="7" max="7"/>
  </cols>
  <sheetData>
    <row r="1">
      <c r="A1" s="1" t="inlineStr">
        <is>
          <t>Task 7: Conditional Formatting &amp; Functions</t>
        </is>
      </c>
    </row>
    <row r="2">
      <c r="A2" s="2" t="inlineStr">
        <is>
          <t>IF, COUNTIF, SUMIF and salary threshold highlights</t>
        </is>
      </c>
    </row>
    <row r="3"/>
    <row r="4">
      <c r="A4" s="6" t="inlineStr">
        <is>
          <t>Emp ID</t>
        </is>
      </c>
      <c r="B4" s="6" t="inlineStr">
        <is>
          <t>Employee Name</t>
        </is>
      </c>
      <c r="C4" s="6" t="inlineStr">
        <is>
          <t>Department</t>
        </is>
      </c>
      <c r="D4" s="6" t="inlineStr">
        <is>
          <t>Salary</t>
        </is>
      </c>
      <c r="E4" s="6" t="inlineStr">
        <is>
          <t>Score</t>
        </is>
      </c>
      <c r="F4" s="6" t="inlineStr">
        <is>
          <t>Bonus Tier</t>
        </is>
      </c>
      <c r="G4" s="6" t="inlineStr">
        <is>
          <t>Appraisal Status</t>
        </is>
      </c>
    </row>
    <row r="5">
      <c r="A5" s="12" t="n">
        <v>1001</v>
      </c>
      <c r="B5" s="13" t="inlineStr">
        <is>
          <t>Sarah Connor</t>
        </is>
      </c>
      <c r="C5" s="13" t="inlineStr">
        <is>
          <t>Engineering</t>
        </is>
      </c>
      <c r="D5" s="14" t="n">
        <v>98000</v>
      </c>
      <c r="E5" s="12" t="n">
        <v>5</v>
      </c>
      <c r="F5" s="12">
        <f>IF(D5&gt;=85000, "High (15%)", IF(D5&gt;=65000, "Mid (10%)", "Base (5%)"))</f>
        <v/>
      </c>
      <c r="G5" s="12">
        <f>IF(E5&gt;=4, "Exceeds Expectations", "Meets Expectations")</f>
        <v/>
      </c>
    </row>
    <row r="6">
      <c r="A6" s="12" t="n">
        <v>1002</v>
      </c>
      <c r="B6" s="13" t="inlineStr">
        <is>
          <t>Michael Chen</t>
        </is>
      </c>
      <c r="C6" s="13" t="inlineStr">
        <is>
          <t>Engineering</t>
        </is>
      </c>
      <c r="D6" s="14" t="n">
        <v>92000</v>
      </c>
      <c r="E6" s="12" t="n">
        <v>4</v>
      </c>
      <c r="F6" s="12">
        <f>IF(D6&gt;=85000, "High (15%)", IF(D6&gt;=65000, "Mid (10%)", "Base (5%)"))</f>
        <v/>
      </c>
      <c r="G6" s="12">
        <f>IF(E6&gt;=4, "Exceeds Expectations", "Meets Expectations")</f>
        <v/>
      </c>
    </row>
    <row r="7">
      <c r="A7" s="12" t="n">
        <v>1003</v>
      </c>
      <c r="B7" s="13" t="inlineStr">
        <is>
          <t>Emily Watson</t>
        </is>
      </c>
      <c r="C7" s="13" t="inlineStr">
        <is>
          <t>Data Analytics</t>
        </is>
      </c>
      <c r="D7" s="14" t="n">
        <v>85000</v>
      </c>
      <c r="E7" s="12" t="n">
        <v>5</v>
      </c>
      <c r="F7" s="12">
        <f>IF(D7&gt;=85000, "High (15%)", IF(D7&gt;=65000, "Mid (10%)", "Base (5%)"))</f>
        <v/>
      </c>
      <c r="G7" s="12">
        <f>IF(E7&gt;=4, "Exceeds Expectations", "Meets Expectations")</f>
        <v/>
      </c>
    </row>
    <row r="8">
      <c r="A8" s="12" t="n">
        <v>1004</v>
      </c>
      <c r="B8" s="13" t="inlineStr">
        <is>
          <t>David Kim</t>
        </is>
      </c>
      <c r="C8" s="13" t="inlineStr">
        <is>
          <t>Data Analytics</t>
        </is>
      </c>
      <c r="D8" s="14" t="n">
        <v>74000</v>
      </c>
      <c r="E8" s="12" t="n">
        <v>4</v>
      </c>
      <c r="F8" s="12">
        <f>IF(D8&gt;=85000, "High (15%)", IF(D8&gt;=65000, "Mid (10%)", "Base (5%)"))</f>
        <v/>
      </c>
      <c r="G8" s="12">
        <f>IF(E8&gt;=4, "Exceeds Expectations", "Meets Expectations")</f>
        <v/>
      </c>
    </row>
    <row r="9">
      <c r="A9" s="12" t="n">
        <v>1005</v>
      </c>
      <c r="B9" s="13" t="inlineStr">
        <is>
          <t>Jessica Alba</t>
        </is>
      </c>
      <c r="C9" s="13" t="inlineStr">
        <is>
          <t>Marketing</t>
        </is>
      </c>
      <c r="D9" s="14" t="n">
        <v>71000</v>
      </c>
      <c r="E9" s="12" t="n">
        <v>3</v>
      </c>
      <c r="F9" s="12">
        <f>IF(D9&gt;=85000, "High (15%)", IF(D9&gt;=65000, "Mid (10%)", "Base (5%)"))</f>
        <v/>
      </c>
      <c r="G9" s="12">
        <f>IF(E9&gt;=4, "Exceeds Expectations", "Meets Expectations")</f>
        <v/>
      </c>
    </row>
    <row r="10">
      <c r="A10" s="12" t="n">
        <v>1006</v>
      </c>
      <c r="B10" s="13" t="inlineStr">
        <is>
          <t>James Wilson</t>
        </is>
      </c>
      <c r="C10" s="13" t="inlineStr">
        <is>
          <t>Sales</t>
        </is>
      </c>
      <c r="D10" s="14" t="n">
        <v>88000</v>
      </c>
      <c r="E10" s="12" t="n">
        <v>4</v>
      </c>
      <c r="F10" s="12">
        <f>IF(D10&gt;=85000, "High (15%)", IF(D10&gt;=65000, "Mid (10%)", "Base (5%)"))</f>
        <v/>
      </c>
      <c r="G10" s="12">
        <f>IF(E10&gt;=4, "Exceeds Expectations", "Meets Expectations")</f>
        <v/>
      </c>
    </row>
    <row r="11">
      <c r="A11" s="12" t="n">
        <v>1007</v>
      </c>
      <c r="B11" s="13" t="inlineStr">
        <is>
          <t>Robert Taylor</t>
        </is>
      </c>
      <c r="C11" s="13" t="inlineStr">
        <is>
          <t>Sales</t>
        </is>
      </c>
      <c r="D11" s="14" t="n">
        <v>62000</v>
      </c>
      <c r="E11" s="12" t="n">
        <v>3</v>
      </c>
      <c r="F11" s="12">
        <f>IF(D11&gt;=85000, "High (15%)", IF(D11&gt;=65000, "Mid (10%)", "Base (5%)"))</f>
        <v/>
      </c>
      <c r="G11" s="12">
        <f>IF(E11&gt;=4, "Exceeds Expectations", "Meets Expectations")</f>
        <v/>
      </c>
    </row>
    <row r="12">
      <c r="A12" s="12" t="n">
        <v>1008</v>
      </c>
      <c r="B12" s="13" t="inlineStr">
        <is>
          <t>Amanda Martinez</t>
        </is>
      </c>
      <c r="C12" s="13" t="inlineStr">
        <is>
          <t>Human Resources</t>
        </is>
      </c>
      <c r="D12" s="14" t="n">
        <v>67000</v>
      </c>
      <c r="E12" s="12" t="n">
        <v>4</v>
      </c>
      <c r="F12" s="12">
        <f>IF(D12&gt;=85000, "High (15%)", IF(D12&gt;=65000, "Mid (10%)", "Base (5%)"))</f>
        <v/>
      </c>
      <c r="G12" s="12">
        <f>IF(E12&gt;=4, "Exceeds Expectations", "Meets Expectations")</f>
        <v/>
      </c>
    </row>
    <row r="13">
      <c r="A13" s="12" t="n">
        <v>1009</v>
      </c>
      <c r="B13" s="13" t="inlineStr">
        <is>
          <t>Brian O'Connor</t>
        </is>
      </c>
      <c r="C13" s="13" t="inlineStr">
        <is>
          <t>Engineering</t>
        </is>
      </c>
      <c r="D13" s="14" t="n">
        <v>89000</v>
      </c>
      <c r="E13" s="12" t="n">
        <v>4</v>
      </c>
      <c r="F13" s="12">
        <f>IF(D13&gt;=85000, "High (15%)", IF(D13&gt;=65000, "Mid (10%)", "Base (5%)"))</f>
        <v/>
      </c>
      <c r="G13" s="12">
        <f>IF(E13&gt;=4, "Exceeds Expectations", "Meets Expectations")</f>
        <v/>
      </c>
    </row>
    <row r="14">
      <c r="A14" s="12" t="n">
        <v>1010</v>
      </c>
      <c r="B14" s="13" t="inlineStr">
        <is>
          <t>Lisa Ray</t>
        </is>
      </c>
      <c r="C14" s="13" t="inlineStr">
        <is>
          <t>Data Analytics</t>
        </is>
      </c>
      <c r="D14" s="14" t="n">
        <v>58000</v>
      </c>
      <c r="E14" s="12" t="n">
        <v>3</v>
      </c>
      <c r="F14" s="12">
        <f>IF(D14&gt;=85000, "High (15%)", IF(D14&gt;=65000, "Mid (10%)", "Base (5%)"))</f>
        <v/>
      </c>
      <c r="G14" s="12">
        <f>IF(E14&gt;=4, "Exceeds Expectations", "Meets Expectations")</f>
        <v/>
      </c>
    </row>
    <row r="15">
      <c r="A15" s="12" t="n">
        <v>1011</v>
      </c>
      <c r="B15" s="13" t="inlineStr">
        <is>
          <t>Kevin Patel</t>
        </is>
      </c>
      <c r="C15" s="13" t="inlineStr">
        <is>
          <t>Marketing</t>
        </is>
      </c>
      <c r="D15" s="14" t="n">
        <v>56000</v>
      </c>
      <c r="E15" s="12" t="n">
        <v>3</v>
      </c>
      <c r="F15" s="12">
        <f>IF(D15&gt;=85000, "High (15%)", IF(D15&gt;=65000, "Mid (10%)", "Base (5%)"))</f>
        <v/>
      </c>
      <c r="G15" s="12">
        <f>IF(E15&gt;=4, "Exceeds Expectations", "Meets Expectations")</f>
        <v/>
      </c>
    </row>
    <row r="16">
      <c r="A16" s="12" t="n">
        <v>1012</v>
      </c>
      <c r="B16" s="13" t="inlineStr">
        <is>
          <t>Rachel Green</t>
        </is>
      </c>
      <c r="C16" s="13" t="inlineStr">
        <is>
          <t>Sales</t>
        </is>
      </c>
      <c r="D16" s="14" t="n">
        <v>54000</v>
      </c>
      <c r="E16" s="12" t="n">
        <v>2</v>
      </c>
      <c r="F16" s="12">
        <f>IF(D16&gt;=85000, "High (15%)", IF(D16&gt;=65000, "Mid (10%)", "Base (5%)"))</f>
        <v/>
      </c>
      <c r="G16" s="12">
        <f>IF(E16&gt;=4, "Exceeds Expectations", "Meets Expectations")</f>
        <v/>
      </c>
    </row>
    <row r="17">
      <c r="A17" s="12" t="n">
        <v>1013</v>
      </c>
      <c r="B17" s="13" t="inlineStr">
        <is>
          <t>Daniel Craig</t>
        </is>
      </c>
      <c r="C17" s="13" t="inlineStr">
        <is>
          <t>Human Resources</t>
        </is>
      </c>
      <c r="D17" s="14" t="n">
        <v>52000</v>
      </c>
      <c r="E17" s="12" t="n">
        <v>3</v>
      </c>
      <c r="F17" s="12">
        <f>IF(D17&gt;=85000, "High (15%)", IF(D17&gt;=65000, "Mid (10%)", "Base (5%)"))</f>
        <v/>
      </c>
      <c r="G17" s="12">
        <f>IF(E17&gt;=4, "Exceeds Expectations", "Meets Expectations")</f>
        <v/>
      </c>
    </row>
    <row r="18">
      <c r="A18" s="12" t="n">
        <v>1014</v>
      </c>
      <c r="B18" s="13" t="inlineStr">
        <is>
          <t>Sophia Loren</t>
        </is>
      </c>
      <c r="C18" s="13" t="inlineStr">
        <is>
          <t>Engineering</t>
        </is>
      </c>
      <c r="D18" s="14" t="n">
        <v>81000</v>
      </c>
      <c r="E18" s="12" t="n">
        <v>4</v>
      </c>
      <c r="F18" s="12">
        <f>IF(D18&gt;=85000, "High (15%)", IF(D18&gt;=65000, "Mid (10%)", "Base (5%)"))</f>
        <v/>
      </c>
      <c r="G18" s="12">
        <f>IF(E18&gt;=4, "Exceeds Expectations", "Meets Expectations")</f>
        <v/>
      </c>
    </row>
    <row r="19">
      <c r="A19" s="12" t="n">
        <v>1015</v>
      </c>
      <c r="B19" s="13" t="inlineStr">
        <is>
          <t>Alexander Vance</t>
        </is>
      </c>
      <c r="C19" s="13" t="inlineStr">
        <is>
          <t>Executive Advisory</t>
        </is>
      </c>
      <c r="D19" s="14" t="n">
        <v>115000</v>
      </c>
      <c r="E19" s="12" t="n">
        <v>5</v>
      </c>
      <c r="F19" s="12">
        <f>IF(D19&gt;=85000, "High (15%)", IF(D19&gt;=65000, "Mid (10%)", "Base (5%)"))</f>
        <v/>
      </c>
      <c r="G19" s="12">
        <f>IF(E19&gt;=4, "Exceeds Expectations", "Meets Expectations")</f>
        <v/>
      </c>
    </row>
    <row r="20"/>
    <row r="21">
      <c r="A21" s="5" t="inlineStr">
        <is>
          <t>Summary Metrics (COUNTIF &amp; SUMIF)</t>
        </is>
      </c>
    </row>
    <row r="22"/>
    <row r="23">
      <c r="A23" s="18" t="inlineStr">
        <is>
          <t>Metric</t>
        </is>
      </c>
      <c r="B23" s="18" t="inlineStr">
        <is>
          <t>Target</t>
        </is>
      </c>
      <c r="C23" s="18" t="inlineStr">
        <is>
          <t>Formula</t>
        </is>
      </c>
      <c r="D23" s="18" t="inlineStr">
        <is>
          <t>Result</t>
        </is>
      </c>
    </row>
    <row r="24">
      <c r="A24" s="19" t="inlineStr">
        <is>
          <t>Engineering Headcount</t>
        </is>
      </c>
      <c r="B24" s="20" t="inlineStr">
        <is>
          <t>Engineering</t>
        </is>
      </c>
      <c r="C24" s="21">
        <f>COUNTIF(C5:C19, "Engineering")</f>
        <v/>
      </c>
      <c r="D24" s="22">
        <f>COUNTIF(C5:C19, "Engineering")</f>
        <v/>
      </c>
    </row>
    <row r="25">
      <c r="A25" s="23" t="inlineStr">
        <is>
          <t>Data Analytics Headcount</t>
        </is>
      </c>
      <c r="B25" s="24" t="inlineStr">
        <is>
          <t>Data Analytics</t>
        </is>
      </c>
      <c r="C25" s="25">
        <f>COUNTIF(C5:C19, "Data Analytics")</f>
        <v/>
      </c>
      <c r="D25" s="26">
        <f>COUNTIF(C5:C19, "Data Analytics")</f>
        <v/>
      </c>
    </row>
    <row r="26">
      <c r="A26" s="19" t="inlineStr">
        <is>
          <t>High Performers (Score &gt;= 4)</t>
        </is>
      </c>
      <c r="B26" s="20" t="inlineStr">
        <is>
          <t>Score &gt;= 4</t>
        </is>
      </c>
      <c r="C26" s="21">
        <f>COUNTIF(E5:E19, "&gt;=4")</f>
        <v/>
      </c>
      <c r="D26" s="22">
        <f>COUNTIF(E5:E19, "&gt;=4")</f>
        <v/>
      </c>
    </row>
    <row r="27">
      <c r="A27" s="23" t="inlineStr">
        <is>
          <t>Engineering Payroll</t>
        </is>
      </c>
      <c r="B27" s="24" t="inlineStr">
        <is>
          <t>Engineering</t>
        </is>
      </c>
      <c r="C27" s="25">
        <f>SUMIF(C5:C19, "Engineering", D5:D19)</f>
        <v/>
      </c>
      <c r="D27" s="27">
        <f>SUMIF(C5:C19, "Engineering", D5:D19)</f>
        <v/>
      </c>
    </row>
    <row r="28">
      <c r="A28" s="19" t="inlineStr">
        <is>
          <t>Data Analytics Payroll</t>
        </is>
      </c>
      <c r="B28" s="20" t="inlineStr">
        <is>
          <t>Data Analytics</t>
        </is>
      </c>
      <c r="C28" s="21">
        <f>SUMIF(C5:C19, "Data Analytics", D5:D19)</f>
        <v/>
      </c>
      <c r="D28" s="28">
        <f>SUMIF(C5:C19, "Data Analytics", D5:D19)</f>
        <v/>
      </c>
    </row>
    <row r="29">
      <c r="A29" s="23" t="inlineStr">
        <is>
          <t>Sales Payroll</t>
        </is>
      </c>
      <c r="B29" s="24" t="inlineStr">
        <is>
          <t>Sales</t>
        </is>
      </c>
      <c r="C29" s="25">
        <f>SUMIF(C5:C19, "Sales", D5:D19)</f>
        <v/>
      </c>
      <c r="D29" s="27">
        <f>SUMIF(C5:C19, "Sales", D5:D19)</f>
        <v/>
      </c>
    </row>
    <row r="30">
      <c r="A30" s="19" t="inlineStr">
        <is>
          <t>High Performers Payroll</t>
        </is>
      </c>
      <c r="B30" s="20" t="inlineStr">
        <is>
          <t>Score &gt;= 4</t>
        </is>
      </c>
      <c r="C30" s="21">
        <f>SUMIF(E5:E19, "&gt;=4", D5:D19)</f>
        <v/>
      </c>
      <c r="D30" s="28">
        <f>SUMIF(E5:E19, "&gt;=4", D5:D19)</f>
        <v/>
      </c>
    </row>
  </sheetData>
  <conditionalFormatting sqref="D5:D19">
    <cfRule type="cellIs" priority="1" operator="greaterThanOrEqual" dxfId="0">
      <formula>85000</formula>
    </cfRule>
    <cfRule type="cellIs" priority="2" operator="between" dxfId="1">
      <formula>65000</formula>
      <formula>84999</formula>
    </cfRule>
    <cfRule type="cellIs" priority="3" operator="lessThan" dxfId="2">
      <formula>65000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33" customWidth="1" min="2" max="2"/>
    <col width="52" customWidth="1" min="3" max="3"/>
    <col width="34" customWidth="1" min="4" max="4"/>
    <col width="19" customWidth="1" min="5" max="5"/>
    <col width="15" customWidth="1" min="6" max="6"/>
    <col width="12" customWidth="1" min="7" max="7"/>
    <col width="29" customWidth="1" min="8" max="8"/>
    <col width="18" customWidth="1" min="9" max="9"/>
    <col width="16" customWidth="1" min="10" max="10"/>
    <col width="12" customWidth="1" min="11" max="11"/>
    <col width="20" customWidth="1" min="12" max="12"/>
  </cols>
  <sheetData>
    <row r="1">
      <c r="A1" s="1" t="inlineStr">
        <is>
          <t>Task 8: VLOOKUP &amp; XLOOKUP</t>
        </is>
      </c>
    </row>
    <row r="2">
      <c r="A2" s="2" t="inlineStr">
        <is>
          <t>Lookup demonstration with department table</t>
        </is>
      </c>
    </row>
    <row r="3"/>
    <row r="4">
      <c r="A4" s="5" t="inlineStr">
        <is>
          <t>Employee Table (Lookups)</t>
        </is>
      </c>
      <c r="H4" s="5" t="inlineStr">
        <is>
          <t>Department Reference Table</t>
        </is>
      </c>
    </row>
    <row r="5">
      <c r="A5" s="18" t="inlineStr">
        <is>
          <t>Emp ID</t>
        </is>
      </c>
      <c r="B5" s="18" t="inlineStr">
        <is>
          <t>Employee Name</t>
        </is>
      </c>
      <c r="C5" s="18" t="inlineStr">
        <is>
          <t>Dept Code</t>
        </is>
      </c>
      <c r="D5" s="18" t="inlineStr">
        <is>
          <t>VLOOKUP Dept</t>
        </is>
      </c>
      <c r="E5" s="18" t="inlineStr">
        <is>
          <t>VLOOKUP Location</t>
        </is>
      </c>
      <c r="F5" s="18" t="inlineStr">
        <is>
          <t>XLOOKUP Head</t>
        </is>
      </c>
      <c r="H5" s="6" t="inlineStr">
        <is>
          <t>Dept Code</t>
        </is>
      </c>
      <c r="I5" s="6" t="inlineStr">
        <is>
          <t>Department Name</t>
        </is>
      </c>
      <c r="J5" s="6" t="inlineStr">
        <is>
          <t>Location</t>
        </is>
      </c>
      <c r="K5" s="6" t="inlineStr">
        <is>
          <t>Budget</t>
        </is>
      </c>
      <c r="L5" s="6" t="inlineStr">
        <is>
          <t>Department Head</t>
        </is>
      </c>
    </row>
    <row r="6">
      <c r="A6" s="12" t="n">
        <v>1001</v>
      </c>
      <c r="B6" s="13" t="inlineStr">
        <is>
          <t>Sarah Connor</t>
        </is>
      </c>
      <c r="C6" s="12" t="n">
        <v>101</v>
      </c>
      <c r="D6" s="13">
        <f>IFERROR(VLOOKUP(C6, $H$6:$L$11, 2, FALSE), "Not Found")</f>
        <v/>
      </c>
      <c r="E6" s="13">
        <f>IFERROR(VLOOKUP(C6, $H$6:$L$11, 3, FALSE), "N/A")</f>
        <v/>
      </c>
      <c r="F6" s="13">
        <f>XLOOKUP(C6, $H$6:$H$11, $L$6:$L$11, "Not Found")</f>
        <v/>
      </c>
      <c r="H6" s="12" t="n">
        <v>101</v>
      </c>
      <c r="I6" s="13" t="inlineStr">
        <is>
          <t>Engineering</t>
        </is>
      </c>
      <c r="J6" s="13" t="inlineStr">
        <is>
          <t>San Francisco</t>
        </is>
      </c>
      <c r="K6" s="29" t="n">
        <v>1250000</v>
      </c>
      <c r="L6" s="13" t="inlineStr">
        <is>
          <t>Dr. Elena Rostova</t>
        </is>
      </c>
    </row>
    <row r="7">
      <c r="A7" s="9" t="n">
        <v>1003</v>
      </c>
      <c r="B7" s="10" t="inlineStr">
        <is>
          <t>Emily Watson</t>
        </is>
      </c>
      <c r="C7" s="9" t="n">
        <v>102</v>
      </c>
      <c r="D7" s="10">
        <f>IFERROR(VLOOKUP(C7, $H$6:$L$11, 2, FALSE), "Not Found")</f>
        <v/>
      </c>
      <c r="E7" s="10">
        <f>IFERROR(VLOOKUP(C7, $H$6:$L$11, 3, FALSE), "N/A")</f>
        <v/>
      </c>
      <c r="F7" s="10">
        <f>XLOOKUP(C7, $H$6:$H$11, $L$6:$L$11, "Not Found")</f>
        <v/>
      </c>
      <c r="H7" s="12" t="n">
        <v>102</v>
      </c>
      <c r="I7" s="13" t="inlineStr">
        <is>
          <t>Data Analytics</t>
        </is>
      </c>
      <c r="J7" s="13" t="inlineStr">
        <is>
          <t>New York</t>
        </is>
      </c>
      <c r="K7" s="29" t="n">
        <v>950000</v>
      </c>
      <c r="L7" s="13" t="inlineStr">
        <is>
          <t>Marcus Brody</t>
        </is>
      </c>
    </row>
    <row r="8">
      <c r="A8" s="12" t="n">
        <v>1005</v>
      </c>
      <c r="B8" s="13" t="inlineStr">
        <is>
          <t>Jessica Alba</t>
        </is>
      </c>
      <c r="C8" s="12" t="n">
        <v>103</v>
      </c>
      <c r="D8" s="13">
        <f>IFERROR(VLOOKUP(C8, $H$6:$L$11, 2, FALSE), "Not Found")</f>
        <v/>
      </c>
      <c r="E8" s="13">
        <f>IFERROR(VLOOKUP(C8, $H$6:$L$11, 3, FALSE), "N/A")</f>
        <v/>
      </c>
      <c r="F8" s="13">
        <f>XLOOKUP(C8, $H$6:$H$11, $L$6:$L$11, "Not Found")</f>
        <v/>
      </c>
      <c r="H8" s="12" t="n">
        <v>103</v>
      </c>
      <c r="I8" s="13" t="inlineStr">
        <is>
          <t>Marketing</t>
        </is>
      </c>
      <c r="J8" s="13" t="inlineStr">
        <is>
          <t>Chicago</t>
        </is>
      </c>
      <c r="K8" s="29" t="n">
        <v>600000</v>
      </c>
      <c r="L8" s="13" t="inlineStr">
        <is>
          <t>Victoria Sterling</t>
        </is>
      </c>
    </row>
    <row r="9">
      <c r="A9" s="9" t="n">
        <v>1006</v>
      </c>
      <c r="B9" s="10" t="inlineStr">
        <is>
          <t>James Wilson</t>
        </is>
      </c>
      <c r="C9" s="9" t="n">
        <v>104</v>
      </c>
      <c r="D9" s="10">
        <f>IFERROR(VLOOKUP(C9, $H$6:$L$11, 2, FALSE), "Not Found")</f>
        <v/>
      </c>
      <c r="E9" s="10">
        <f>IFERROR(VLOOKUP(C9, $H$6:$L$11, 3, FALSE), "N/A")</f>
        <v/>
      </c>
      <c r="F9" s="10">
        <f>XLOOKUP(C9, $H$6:$H$11, $L$6:$L$11, "Not Found")</f>
        <v/>
      </c>
      <c r="H9" s="12" t="n">
        <v>104</v>
      </c>
      <c r="I9" s="13" t="inlineStr">
        <is>
          <t>Sales</t>
        </is>
      </c>
      <c r="J9" s="13" t="inlineStr">
        <is>
          <t>Austin</t>
        </is>
      </c>
      <c r="K9" s="29" t="n">
        <v>800000</v>
      </c>
      <c r="L9" s="13" t="inlineStr">
        <is>
          <t>Gregory House</t>
        </is>
      </c>
    </row>
    <row r="10">
      <c r="A10" s="12" t="n">
        <v>1008</v>
      </c>
      <c r="B10" s="13" t="inlineStr">
        <is>
          <t>Amanda Martinez</t>
        </is>
      </c>
      <c r="C10" s="12" t="n">
        <v>105</v>
      </c>
      <c r="D10" s="13">
        <f>IFERROR(VLOOKUP(C10, $H$6:$L$11, 2, FALSE), "Not Found")</f>
        <v/>
      </c>
      <c r="E10" s="13">
        <f>IFERROR(VLOOKUP(C10, $H$6:$L$11, 3, FALSE), "N/A")</f>
        <v/>
      </c>
      <c r="F10" s="13">
        <f>XLOOKUP(C10, $H$6:$H$11, $L$6:$L$11, "Not Found")</f>
        <v/>
      </c>
      <c r="H10" s="12" t="n">
        <v>105</v>
      </c>
      <c r="I10" s="13" t="inlineStr">
        <is>
          <t>Human Resources</t>
        </is>
      </c>
      <c r="J10" s="13" t="inlineStr">
        <is>
          <t>Boston</t>
        </is>
      </c>
      <c r="K10" s="29" t="n">
        <v>450000</v>
      </c>
      <c r="L10" s="13" t="inlineStr">
        <is>
          <t>Clara Oswald</t>
        </is>
      </c>
    </row>
    <row r="11">
      <c r="A11" s="9" t="n">
        <v>1010</v>
      </c>
      <c r="B11" s="10" t="inlineStr">
        <is>
          <t>Lisa Ray</t>
        </is>
      </c>
      <c r="C11" s="9" t="n">
        <v>102</v>
      </c>
      <c r="D11" s="10">
        <f>IFERROR(VLOOKUP(C11, $H$6:$L$11, 2, FALSE), "Not Found")</f>
        <v/>
      </c>
      <c r="E11" s="10">
        <f>IFERROR(VLOOKUP(C11, $H$6:$L$11, 3, FALSE), "N/A")</f>
        <v/>
      </c>
      <c r="F11" s="10">
        <f>XLOOKUP(C11, $H$6:$H$11, $L$6:$L$11, "Not Found")</f>
        <v/>
      </c>
      <c r="H11" s="12" t="n">
        <v>106</v>
      </c>
      <c r="I11" s="13" t="inlineStr">
        <is>
          <t>Research &amp; Dev</t>
        </is>
      </c>
      <c r="J11" s="13" t="inlineStr">
        <is>
          <t>Seattle</t>
        </is>
      </c>
      <c r="K11" s="29" t="n">
        <v>1100000</v>
      </c>
      <c r="L11" s="13" t="inlineStr">
        <is>
          <t>Dr. Emmett Brown</t>
        </is>
      </c>
    </row>
    <row r="12">
      <c r="A12" s="12" t="n">
        <v>1014</v>
      </c>
      <c r="B12" s="13" t="inlineStr">
        <is>
          <t>Sophia Loren</t>
        </is>
      </c>
      <c r="C12" s="12" t="n">
        <v>101</v>
      </c>
      <c r="D12" s="13">
        <f>IFERROR(VLOOKUP(C12, $H$6:$L$11, 2, FALSE), "Not Found")</f>
        <v/>
      </c>
      <c r="E12" s="13">
        <f>IFERROR(VLOOKUP(C12, $H$6:$L$11, 3, FALSE), "N/A")</f>
        <v/>
      </c>
      <c r="F12" s="13">
        <f>XLOOKUP(C12, $H$6:$H$11, $L$6:$L$11, "Not Found")</f>
        <v/>
      </c>
    </row>
    <row r="13">
      <c r="A13" s="9" t="n">
        <v>1015</v>
      </c>
      <c r="B13" s="10" t="inlineStr">
        <is>
          <t>Alexander Vance</t>
        </is>
      </c>
      <c r="C13" s="9" t="n">
        <v>999</v>
      </c>
      <c r="D13" s="10">
        <f>IFERROR(VLOOKUP(C13, $H$6:$L$11, 2, FALSE), "Not Found")</f>
        <v/>
      </c>
      <c r="E13" s="10">
        <f>IFERROR(VLOOKUP(C13, $H$6:$L$11, 3, FALSE), "N/A")</f>
        <v/>
      </c>
      <c r="F13" s="10">
        <f>XLOOKUP(C13, $H$6:$H$11, $L$6:$L$11, "Not Found")</f>
        <v/>
      </c>
    </row>
    <row r="14"/>
    <row r="15"/>
    <row r="16">
      <c r="A16" s="5" t="inlineStr">
        <is>
          <t>Reverse Lookup using XLOOKUP</t>
        </is>
      </c>
    </row>
    <row r="17">
      <c r="A17" s="2" t="inlineStr">
        <is>
          <t>Looking up Dept Code from Head Name (searching right to left)</t>
        </is>
      </c>
    </row>
    <row r="18"/>
    <row r="19">
      <c r="A19" s="6" t="inlineStr">
        <is>
          <t>Department Head</t>
        </is>
      </c>
      <c r="B19" s="6" t="inlineStr">
        <is>
          <t>Formula</t>
        </is>
      </c>
      <c r="C19" s="6" t="inlineStr">
        <is>
          <t>Dept Code</t>
        </is>
      </c>
      <c r="D19" s="6" t="inlineStr">
        <is>
          <t>Department Name</t>
        </is>
      </c>
    </row>
    <row r="20">
      <c r="A20" s="19" t="inlineStr">
        <is>
          <t>Dr. Elena Rostova</t>
        </is>
      </c>
      <c r="B20" s="21">
        <f>XLOOKUP(A20, $L$6:$L$11, $H$6:$H$11, "Not Found")</f>
        <v/>
      </c>
      <c r="C20" s="20">
        <f>XLOOKUP(A20, $L$6:$L$11, $H$6:$H$11, "Not Found")</f>
        <v/>
      </c>
      <c r="D20" s="30">
        <f>XLOOKUP(A20, $L$6:$L$11, $I$6:$I$11, "Not Found")</f>
        <v/>
      </c>
    </row>
    <row r="21">
      <c r="A21" s="19" t="inlineStr">
        <is>
          <t>Marcus Brody</t>
        </is>
      </c>
      <c r="B21" s="21">
        <f>XLOOKUP(A21, $L$6:$L$11, $H$6:$H$11, "Not Found")</f>
        <v/>
      </c>
      <c r="C21" s="20">
        <f>XLOOKUP(A21, $L$6:$L$11, $H$6:$H$11, "Not Found")</f>
        <v/>
      </c>
      <c r="D21" s="30">
        <f>XLOOKUP(A21, $L$6:$L$11, $I$6:$I$11, "Not Found")</f>
        <v/>
      </c>
    </row>
    <row r="22">
      <c r="A22" s="19" t="inlineStr">
        <is>
          <t>Dr. Emmett Brown</t>
        </is>
      </c>
      <c r="B22" s="21">
        <f>XLOOKUP(A22, $L$6:$L$11, $H$6:$H$11, "Not Found")</f>
        <v/>
      </c>
      <c r="C22" s="20">
        <f>XLOOKUP(A22, $L$6:$L$11, $H$6:$H$11, "Not Found")</f>
        <v/>
      </c>
      <c r="D22" s="30">
        <f>XLOOKUP(A22, $L$6:$L$11, $I$6:$I$11, "Not Found")</f>
        <v/>
      </c>
    </row>
    <row r="23"/>
    <row r="24"/>
    <row r="25">
      <c r="A25" s="5" t="inlineStr">
        <is>
          <t>VLOOKUP vs XLOOKUP Differences</t>
        </is>
      </c>
    </row>
    <row r="26"/>
    <row r="27">
      <c r="A27" s="18" t="inlineStr">
        <is>
          <t>Feature</t>
        </is>
      </c>
      <c r="B27" s="18" t="inlineStr">
        <is>
          <t>VLOOKUP</t>
        </is>
      </c>
      <c r="C27" s="18" t="inlineStr">
        <is>
          <t>XLOOKUP</t>
        </is>
      </c>
      <c r="D27" s="18" t="inlineStr">
        <is>
          <t>Notes</t>
        </is>
      </c>
    </row>
    <row r="28">
      <c r="A28" s="7" t="inlineStr">
        <is>
          <t>Search Direction</t>
        </is>
      </c>
      <c r="B28" s="13" t="inlineStr">
        <is>
          <t>Left-to-right only</t>
        </is>
      </c>
      <c r="C28" s="13" t="inlineStr">
        <is>
          <t>Any direction (left, right, vertical, horizontal)</t>
        </is>
      </c>
      <c r="D28" s="7" t="inlineStr">
        <is>
          <t>XLOOKUP handles reverse search</t>
        </is>
      </c>
    </row>
    <row r="29">
      <c r="A29" s="8" t="inlineStr">
        <is>
          <t>Match Default</t>
        </is>
      </c>
      <c r="B29" s="10" t="inlineStr">
        <is>
          <t>Approximate match (TRUE)</t>
        </is>
      </c>
      <c r="C29" s="10" t="inlineStr">
        <is>
          <t>Exact match (0)</t>
        </is>
      </c>
      <c r="D29" s="8" t="inlineStr">
        <is>
          <t>XLOOKUP safer by default</t>
        </is>
      </c>
    </row>
    <row r="30">
      <c r="A30" s="7" t="inlineStr">
        <is>
          <t>Column Insertion</t>
        </is>
      </c>
      <c r="B30" s="13" t="inlineStr">
        <is>
          <t>Breaks formula if index shifts</t>
        </is>
      </c>
      <c r="C30" s="13" t="inlineStr">
        <is>
          <t>Dynamic range references adjust</t>
        </is>
      </c>
      <c r="D30" s="7" t="inlineStr">
        <is>
          <t>XLOOKUP is resilient to changes</t>
        </is>
      </c>
    </row>
    <row r="31">
      <c r="A31" s="8" t="inlineStr">
        <is>
          <t>Missing Value</t>
        </is>
      </c>
      <c r="B31" s="10" t="inlineStr">
        <is>
          <t>Needs IFERROR() wrapper</t>
        </is>
      </c>
      <c r="C31" s="10" t="inlineStr">
        <is>
          <t>Built-in if_not_found argument</t>
        </is>
      </c>
      <c r="D31" s="8" t="inlineStr">
        <is>
          <t>Simpler syntax in XLOOKUP</t>
        </is>
      </c>
    </row>
    <row r="32">
      <c r="A32" s="7" t="inlineStr">
        <is>
          <t>Version Support</t>
        </is>
      </c>
      <c r="B32" s="13" t="inlineStr">
        <is>
          <t>All Excel versions</t>
        </is>
      </c>
      <c r="C32" s="13" t="inlineStr">
        <is>
          <t>Excel 365 / 2021+</t>
        </is>
      </c>
      <c r="D32" s="7" t="inlineStr">
        <is>
          <t>VLOOKUP needed for older Excel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6" customWidth="1" min="3" max="3"/>
    <col width="17" customWidth="1" min="4" max="4"/>
    <col width="13" customWidth="1" min="5" max="5"/>
    <col width="13" customWidth="1" min="6" max="6"/>
    <col width="18" customWidth="1" min="7" max="7"/>
  </cols>
  <sheetData>
    <row r="1">
      <c r="A1" s="1" t="inlineStr">
        <is>
          <t>Task 9: Pivot Table &amp; Chart</t>
        </is>
      </c>
    </row>
    <row r="2">
      <c r="A2" s="2" t="inlineStr">
        <is>
          <t>Departmental summary and salary distribution</t>
        </is>
      </c>
    </row>
    <row r="3"/>
    <row r="4">
      <c r="A4" s="6" t="inlineStr">
        <is>
          <t>Department</t>
        </is>
      </c>
      <c r="B4" s="6" t="inlineStr">
        <is>
          <t>Staff Count</t>
        </is>
      </c>
      <c r="C4" s="6" t="inlineStr">
        <is>
          <t>Total Payroll</t>
        </is>
      </c>
      <c r="D4" s="6" t="inlineStr">
        <is>
          <t>Average Salary</t>
        </is>
      </c>
      <c r="E4" s="6" t="inlineStr">
        <is>
          <t>Min Salary</t>
        </is>
      </c>
      <c r="F4" s="6" t="inlineStr">
        <is>
          <t>Max Salary</t>
        </is>
      </c>
      <c r="G4" s="6" t="inlineStr">
        <is>
          <t>% Total Payroll</t>
        </is>
      </c>
    </row>
    <row r="5">
      <c r="A5" s="10" t="inlineStr">
        <is>
          <t>Engineering</t>
        </is>
      </c>
      <c r="B5" s="9" t="n">
        <v>4</v>
      </c>
      <c r="C5" s="31" t="n">
        <v>360000</v>
      </c>
      <c r="D5" s="31" t="n">
        <v>90000</v>
      </c>
      <c r="E5" s="31" t="n">
        <v>81000</v>
      </c>
      <c r="F5" s="31" t="n">
        <v>98000</v>
      </c>
      <c r="G5" s="32" t="n">
        <v>0.3023</v>
      </c>
    </row>
    <row r="6">
      <c r="A6" s="13" t="inlineStr">
        <is>
          <t>Data Analytics</t>
        </is>
      </c>
      <c r="B6" s="12" t="n">
        <v>3</v>
      </c>
      <c r="C6" s="29" t="n">
        <v>217000</v>
      </c>
      <c r="D6" s="29" t="n">
        <v>72333.33</v>
      </c>
      <c r="E6" s="29" t="n">
        <v>58000</v>
      </c>
      <c r="F6" s="29" t="n">
        <v>85000</v>
      </c>
      <c r="G6" s="33" t="n">
        <v>0.1822</v>
      </c>
    </row>
    <row r="7">
      <c r="A7" s="10" t="inlineStr">
        <is>
          <t>Sales</t>
        </is>
      </c>
      <c r="B7" s="9" t="n">
        <v>3</v>
      </c>
      <c r="C7" s="31" t="n">
        <v>204000</v>
      </c>
      <c r="D7" s="31" t="n">
        <v>68000</v>
      </c>
      <c r="E7" s="31" t="n">
        <v>54000</v>
      </c>
      <c r="F7" s="31" t="n">
        <v>88000</v>
      </c>
      <c r="G7" s="32" t="n">
        <v>0.1713</v>
      </c>
    </row>
    <row r="8">
      <c r="A8" s="13" t="inlineStr">
        <is>
          <t>Human Resources</t>
        </is>
      </c>
      <c r="B8" s="12" t="n">
        <v>2</v>
      </c>
      <c r="C8" s="29" t="n">
        <v>119000</v>
      </c>
      <c r="D8" s="29" t="n">
        <v>59500</v>
      </c>
      <c r="E8" s="29" t="n">
        <v>52000</v>
      </c>
      <c r="F8" s="29" t="n">
        <v>67000</v>
      </c>
      <c r="G8" s="33" t="n">
        <v>0.0999</v>
      </c>
    </row>
    <row r="9">
      <c r="A9" s="10" t="inlineStr">
        <is>
          <t>Marketing</t>
        </is>
      </c>
      <c r="B9" s="9" t="n">
        <v>2</v>
      </c>
      <c r="C9" s="31" t="n">
        <v>127000</v>
      </c>
      <c r="D9" s="31" t="n">
        <v>63500</v>
      </c>
      <c r="E9" s="31" t="n">
        <v>56000</v>
      </c>
      <c r="F9" s="31" t="n">
        <v>71000</v>
      </c>
      <c r="G9" s="32" t="n">
        <v>0.1066</v>
      </c>
    </row>
    <row r="10">
      <c r="A10" s="13" t="inlineStr">
        <is>
          <t>Executive Advisory</t>
        </is>
      </c>
      <c r="B10" s="12" t="n">
        <v>1</v>
      </c>
      <c r="C10" s="29" t="n">
        <v>115000</v>
      </c>
      <c r="D10" s="29" t="n">
        <v>115000</v>
      </c>
      <c r="E10" s="29" t="n">
        <v>115000</v>
      </c>
      <c r="F10" s="29" t="n">
        <v>115000</v>
      </c>
      <c r="G10" s="33" t="n">
        <v>0.09660000000000001</v>
      </c>
    </row>
    <row r="11">
      <c r="A11" s="10" t="inlineStr">
        <is>
          <t>Research &amp; Dev</t>
        </is>
      </c>
      <c r="B11" s="9" t="n">
        <v>0</v>
      </c>
      <c r="C11" s="31" t="n">
        <v>0</v>
      </c>
      <c r="D11" s="31" t="n">
        <v>0</v>
      </c>
      <c r="E11" s="31" t="n">
        <v>0</v>
      </c>
      <c r="F11" s="31" t="n">
        <v>0</v>
      </c>
      <c r="G11" s="32" t="n">
        <v>0</v>
      </c>
    </row>
    <row r="12">
      <c r="A12" s="3" t="inlineStr">
        <is>
          <t>Total</t>
        </is>
      </c>
      <c r="B12" s="15">
        <f>SUM(B5:B11)</f>
        <v/>
      </c>
      <c r="C12" s="34">
        <f>SUM(C5:C11)</f>
        <v/>
      </c>
      <c r="D12" s="34">
        <f>AVERAGE(D5:D10)</f>
        <v/>
      </c>
      <c r="G12" s="35">
        <f>SUM(G5:G11)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1" customWidth="1" min="4" max="4"/>
    <col width="16" customWidth="1" min="5" max="5"/>
    <col width="12" customWidth="1" min="6" max="6"/>
    <col width="13" customWidth="1" min="7" max="7"/>
    <col width="20" customWidth="1" min="8" max="8"/>
  </cols>
  <sheetData>
    <row r="1">
      <c r="A1" s="1" t="inlineStr">
        <is>
          <t>Employee Master Dataset</t>
        </is>
      </c>
    </row>
    <row r="2"/>
    <row r="3">
      <c r="A3" s="36" t="inlineStr">
        <is>
          <t>Employee ID</t>
        </is>
      </c>
      <c r="B3" s="36" t="inlineStr">
        <is>
          <t>Employee Name</t>
        </is>
      </c>
      <c r="C3" s="36" t="inlineStr">
        <is>
          <t>Job Title</t>
        </is>
      </c>
      <c r="D3" s="36" t="inlineStr">
        <is>
          <t>Department</t>
        </is>
      </c>
      <c r="E3" s="36" t="inlineStr">
        <is>
          <t>Location</t>
        </is>
      </c>
      <c r="F3" s="36" t="inlineStr">
        <is>
          <t>Salary</t>
        </is>
      </c>
      <c r="G3" s="36" t="inlineStr">
        <is>
          <t>Hire Date</t>
        </is>
      </c>
      <c r="H3" s="36" t="inlineStr">
        <is>
          <t>Performance Score</t>
        </is>
      </c>
    </row>
    <row r="4">
      <c r="A4" s="12" t="n">
        <v>1001</v>
      </c>
      <c r="B4" s="7" t="inlineStr">
        <is>
          <t>Sarah Connor</t>
        </is>
      </c>
      <c r="C4" s="7" t="inlineStr">
        <is>
          <t>Lead Data Engineer</t>
        </is>
      </c>
      <c r="D4" s="7" t="inlineStr">
        <is>
          <t>Engineering</t>
        </is>
      </c>
      <c r="E4" s="7" t="inlineStr">
        <is>
          <t>San Francisco</t>
        </is>
      </c>
      <c r="F4" s="14" t="n">
        <v>98000</v>
      </c>
      <c r="G4" s="12" t="inlineStr">
        <is>
          <t>2021-03-15</t>
        </is>
      </c>
      <c r="H4" s="12" t="n">
        <v>5</v>
      </c>
    </row>
    <row r="5">
      <c r="A5" s="9" t="n">
        <v>1002</v>
      </c>
      <c r="B5" s="8" t="inlineStr">
        <is>
          <t>Michael Chen</t>
        </is>
      </c>
      <c r="C5" s="8" t="inlineStr">
        <is>
          <t>Senior Software Engineer</t>
        </is>
      </c>
      <c r="D5" s="8" t="inlineStr">
        <is>
          <t>Engineering</t>
        </is>
      </c>
      <c r="E5" s="8" t="inlineStr">
        <is>
          <t>San Francisco</t>
        </is>
      </c>
      <c r="F5" s="11" t="n">
        <v>92000</v>
      </c>
      <c r="G5" s="9" t="inlineStr">
        <is>
          <t>2020-07-11</t>
        </is>
      </c>
      <c r="H5" s="9" t="n">
        <v>4</v>
      </c>
    </row>
    <row r="6">
      <c r="A6" s="12" t="n">
        <v>1003</v>
      </c>
      <c r="B6" s="7" t="inlineStr">
        <is>
          <t>Emily Watson</t>
        </is>
      </c>
      <c r="C6" s="7" t="inlineStr">
        <is>
          <t>Senior Data Analyst</t>
        </is>
      </c>
      <c r="D6" s="7" t="inlineStr">
        <is>
          <t>Data Analytics</t>
        </is>
      </c>
      <c r="E6" s="7" t="inlineStr">
        <is>
          <t>New York</t>
        </is>
      </c>
      <c r="F6" s="14" t="n">
        <v>85000</v>
      </c>
      <c r="G6" s="12" t="inlineStr">
        <is>
          <t>2021-09-01</t>
        </is>
      </c>
      <c r="H6" s="12" t="n">
        <v>5</v>
      </c>
    </row>
    <row r="7">
      <c r="A7" s="9" t="n">
        <v>1004</v>
      </c>
      <c r="B7" s="8" t="inlineStr">
        <is>
          <t>David Kim</t>
        </is>
      </c>
      <c r="C7" s="8" t="inlineStr">
        <is>
          <t>BI Developer</t>
        </is>
      </c>
      <c r="D7" s="8" t="inlineStr">
        <is>
          <t>Data Analytics</t>
        </is>
      </c>
      <c r="E7" s="8" t="inlineStr">
        <is>
          <t>New York</t>
        </is>
      </c>
      <c r="F7" s="11" t="n">
        <v>74000</v>
      </c>
      <c r="G7" s="9" t="inlineStr">
        <is>
          <t>2022-01-10</t>
        </is>
      </c>
      <c r="H7" s="9" t="n">
        <v>4</v>
      </c>
    </row>
    <row r="8">
      <c r="A8" s="12" t="n">
        <v>1005</v>
      </c>
      <c r="B8" s="7" t="inlineStr">
        <is>
          <t>Jessica Alba</t>
        </is>
      </c>
      <c r="C8" s="7" t="inlineStr">
        <is>
          <t>Digital Marketing Manager</t>
        </is>
      </c>
      <c r="D8" s="7" t="inlineStr">
        <is>
          <t>Marketing</t>
        </is>
      </c>
      <c r="E8" s="7" t="inlineStr">
        <is>
          <t>Chicago</t>
        </is>
      </c>
      <c r="F8" s="14" t="n">
        <v>71000</v>
      </c>
      <c r="G8" s="12" t="inlineStr">
        <is>
          <t>2019-11-20</t>
        </is>
      </c>
      <c r="H8" s="12" t="n">
        <v>3</v>
      </c>
    </row>
    <row r="9">
      <c r="A9" s="9" t="n">
        <v>1006</v>
      </c>
      <c r="B9" s="8" t="inlineStr">
        <is>
          <t>James Wilson</t>
        </is>
      </c>
      <c r="C9" s="8" t="inlineStr">
        <is>
          <t>Enterprise Account Exec</t>
        </is>
      </c>
      <c r="D9" s="8" t="inlineStr">
        <is>
          <t>Sales</t>
        </is>
      </c>
      <c r="E9" s="8" t="inlineStr">
        <is>
          <t>Austin</t>
        </is>
      </c>
      <c r="F9" s="11" t="n">
        <v>88000</v>
      </c>
      <c r="G9" s="9" t="inlineStr">
        <is>
          <t>2020-02-14</t>
        </is>
      </c>
      <c r="H9" s="9" t="n">
        <v>4</v>
      </c>
    </row>
    <row r="10">
      <c r="A10" s="12" t="n">
        <v>1007</v>
      </c>
      <c r="B10" s="7" t="inlineStr">
        <is>
          <t>Robert Taylor</t>
        </is>
      </c>
      <c r="C10" s="7" t="inlineStr">
        <is>
          <t>Sales Specialist</t>
        </is>
      </c>
      <c r="D10" s="7" t="inlineStr">
        <is>
          <t>Sales</t>
        </is>
      </c>
      <c r="E10" s="7" t="inlineStr">
        <is>
          <t>Austin</t>
        </is>
      </c>
      <c r="F10" s="14" t="n">
        <v>62000</v>
      </c>
      <c r="G10" s="12" t="inlineStr">
        <is>
          <t>2022-05-18</t>
        </is>
      </c>
      <c r="H10" s="12" t="n">
        <v>3</v>
      </c>
    </row>
    <row r="11">
      <c r="A11" s="9" t="n">
        <v>1008</v>
      </c>
      <c r="B11" s="8" t="inlineStr">
        <is>
          <t>Amanda Martinez</t>
        </is>
      </c>
      <c r="C11" s="8" t="inlineStr">
        <is>
          <t>HR Business Partner</t>
        </is>
      </c>
      <c r="D11" s="8" t="inlineStr">
        <is>
          <t>Human Resources</t>
        </is>
      </c>
      <c r="E11" s="8" t="inlineStr">
        <is>
          <t>Boston</t>
        </is>
      </c>
      <c r="F11" s="11" t="n">
        <v>67000</v>
      </c>
      <c r="G11" s="9" t="inlineStr">
        <is>
          <t>2021-08-05</t>
        </is>
      </c>
      <c r="H11" s="9" t="n">
        <v>4</v>
      </c>
    </row>
    <row r="12">
      <c r="A12" s="12" t="n">
        <v>1009</v>
      </c>
      <c r="B12" s="7" t="inlineStr">
        <is>
          <t>Brian O'Connor</t>
        </is>
      </c>
      <c r="C12" s="7" t="inlineStr">
        <is>
          <t>DevOps Engineer</t>
        </is>
      </c>
      <c r="D12" s="7" t="inlineStr">
        <is>
          <t>Engineering</t>
        </is>
      </c>
      <c r="E12" s="7" t="inlineStr">
        <is>
          <t>San Francisco</t>
        </is>
      </c>
      <c r="F12" s="14" t="n">
        <v>89000</v>
      </c>
      <c r="G12" s="12" t="inlineStr">
        <is>
          <t>2021-12-01</t>
        </is>
      </c>
      <c r="H12" s="12" t="n">
        <v>4</v>
      </c>
    </row>
    <row r="13">
      <c r="A13" s="9" t="n">
        <v>1010</v>
      </c>
      <c r="B13" s="8" t="inlineStr">
        <is>
          <t>Lisa Ray</t>
        </is>
      </c>
      <c r="C13" s="8" t="inlineStr">
        <is>
          <t>Junior Data Analyst</t>
        </is>
      </c>
      <c r="D13" s="8" t="inlineStr">
        <is>
          <t>Data Analytics</t>
        </is>
      </c>
      <c r="E13" s="8" t="inlineStr">
        <is>
          <t>New York</t>
        </is>
      </c>
      <c r="F13" s="11" t="n">
        <v>58000</v>
      </c>
      <c r="G13" s="9" t="inlineStr">
        <is>
          <t>2023-04-12</t>
        </is>
      </c>
      <c r="H13" s="9" t="n">
        <v>3</v>
      </c>
    </row>
    <row r="14">
      <c r="A14" s="12" t="n">
        <v>1011</v>
      </c>
      <c r="B14" s="7" t="inlineStr">
        <is>
          <t>Kevin Patel</t>
        </is>
      </c>
      <c r="C14" s="7" t="inlineStr">
        <is>
          <t>Content Strategist</t>
        </is>
      </c>
      <c r="D14" s="7" t="inlineStr">
        <is>
          <t>Marketing</t>
        </is>
      </c>
      <c r="E14" s="7" t="inlineStr">
        <is>
          <t>Chicago</t>
        </is>
      </c>
      <c r="F14" s="14" t="n">
        <v>56000</v>
      </c>
      <c r="G14" s="12" t="inlineStr">
        <is>
          <t>2023-02-01</t>
        </is>
      </c>
      <c r="H14" s="12" t="n">
        <v>3</v>
      </c>
    </row>
    <row r="15">
      <c r="A15" s="9" t="n">
        <v>1012</v>
      </c>
      <c r="B15" s="8" t="inlineStr">
        <is>
          <t>Rachel Green</t>
        </is>
      </c>
      <c r="C15" s="8" t="inlineStr">
        <is>
          <t>Inside Sales Rep</t>
        </is>
      </c>
      <c r="D15" s="8" t="inlineStr">
        <is>
          <t>Sales</t>
        </is>
      </c>
      <c r="E15" s="8" t="inlineStr">
        <is>
          <t>Austin</t>
        </is>
      </c>
      <c r="F15" s="11" t="n">
        <v>54000</v>
      </c>
      <c r="G15" s="9" t="inlineStr">
        <is>
          <t>2023-06-15</t>
        </is>
      </c>
      <c r="H15" s="9" t="n">
        <v>2</v>
      </c>
    </row>
    <row r="16">
      <c r="A16" s="12" t="n">
        <v>1013</v>
      </c>
      <c r="B16" s="7" t="inlineStr">
        <is>
          <t>Daniel Craig</t>
        </is>
      </c>
      <c r="C16" s="7" t="inlineStr">
        <is>
          <t>Recruiting Coordinator</t>
        </is>
      </c>
      <c r="D16" s="7" t="inlineStr">
        <is>
          <t>Human Resources</t>
        </is>
      </c>
      <c r="E16" s="7" t="inlineStr">
        <is>
          <t>Boston</t>
        </is>
      </c>
      <c r="F16" s="14" t="n">
        <v>52000</v>
      </c>
      <c r="G16" s="12" t="inlineStr">
        <is>
          <t>2023-08-20</t>
        </is>
      </c>
      <c r="H16" s="12" t="n">
        <v>3</v>
      </c>
    </row>
    <row r="17">
      <c r="A17" s="9" t="n">
        <v>1014</v>
      </c>
      <c r="B17" s="8" t="inlineStr">
        <is>
          <t>Sophia Loren</t>
        </is>
      </c>
      <c r="C17" s="8" t="inlineStr">
        <is>
          <t>Frontend Engineer</t>
        </is>
      </c>
      <c r="D17" s="8" t="inlineStr">
        <is>
          <t>Engineering</t>
        </is>
      </c>
      <c r="E17" s="8" t="inlineStr">
        <is>
          <t>San Francisco</t>
        </is>
      </c>
      <c r="F17" s="11" t="n">
        <v>81000</v>
      </c>
      <c r="G17" s="9" t="inlineStr">
        <is>
          <t>2022-10-01</t>
        </is>
      </c>
      <c r="H17" s="9" t="n">
        <v>4</v>
      </c>
    </row>
    <row r="18">
      <c r="A18" s="12" t="n">
        <v>1015</v>
      </c>
      <c r="B18" s="7" t="inlineStr">
        <is>
          <t>Alexander Vance</t>
        </is>
      </c>
      <c r="C18" s="7" t="inlineStr">
        <is>
          <t>Strategic Advisor</t>
        </is>
      </c>
      <c r="D18" s="7" t="inlineStr">
        <is>
          <t>Executive Advisory</t>
        </is>
      </c>
      <c r="E18" s="7" t="inlineStr">
        <is>
          <t>Remote</t>
        </is>
      </c>
      <c r="F18" s="14" t="n">
        <v>115000</v>
      </c>
      <c r="G18" s="12" t="inlineStr">
        <is>
          <t>2024-01-05</t>
        </is>
      </c>
      <c r="H18" s="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2026-10-20T11:22:41Z</dcterms:created>
  <dcterms:modified xmlns:dcterms="http://purl.org/dc/terms/" xmlns:xsi="http://www.w3.org/2001/XMLSchema-instance" xsi:type="dcterms:W3CDTF">2026-10-20T11:22:41Z</dcterms:modified>
</cp:coreProperties>
</file>